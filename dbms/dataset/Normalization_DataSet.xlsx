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an\Downloads\"/>
    </mc:Choice>
  </mc:AlternateContent>
  <xr:revisionPtr revIDLastSave="0" documentId="13_ncr:1_{6ED18B3A-463B-40F6-BC31-C614EE1E3C22}" xr6:coauthVersionLast="47" xr6:coauthVersionMax="47" xr10:uidLastSave="{00000000-0000-0000-0000-000000000000}"/>
  <bookViews>
    <workbookView xWindow="-108" yWindow="-108" windowWidth="23256" windowHeight="13896" xr2:uid="{3F154C7C-13D9-4D8A-8394-D0F1C4122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3" i="1" l="1"/>
  <c r="I72" i="1"/>
  <c r="I71" i="1"/>
  <c r="I70" i="1"/>
  <c r="I69" i="1"/>
  <c r="E50" i="1"/>
  <c r="E49" i="1"/>
  <c r="E48" i="1"/>
  <c r="E47" i="1"/>
  <c r="E46" i="1"/>
  <c r="D35" i="1"/>
  <c r="D34" i="1"/>
  <c r="D33" i="1"/>
  <c r="D32" i="1"/>
  <c r="D31" i="1"/>
  <c r="D18" i="1"/>
  <c r="D17" i="1"/>
  <c r="D16" i="1"/>
  <c r="D15" i="1"/>
  <c r="D14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<sst xmlns="http://schemas.openxmlformats.org/spreadsheetml/2006/main" count="468" uniqueCount="117">
  <si>
    <t>Order Details</t>
  </si>
  <si>
    <t>Product Details</t>
  </si>
  <si>
    <t>Order_number</t>
  </si>
  <si>
    <t>Quantity</t>
  </si>
  <si>
    <t>Iterm_Price</t>
  </si>
  <si>
    <t>Total_Cost</t>
  </si>
  <si>
    <t>Order_Date</t>
  </si>
  <si>
    <t>Status</t>
  </si>
  <si>
    <t>Product_Code</t>
  </si>
  <si>
    <t>Product_Name</t>
  </si>
  <si>
    <t>Product_Price</t>
  </si>
  <si>
    <t>Customer_Name</t>
  </si>
  <si>
    <t>Phone</t>
  </si>
  <si>
    <t>Shipped</t>
  </si>
  <si>
    <t>PRD_1001</t>
  </si>
  <si>
    <t>Motorcycles</t>
  </si>
  <si>
    <t>Land of Toys Inc</t>
  </si>
  <si>
    <t>Cancelled</t>
  </si>
  <si>
    <t>PRD_1002</t>
  </si>
  <si>
    <t>Vintage Cars</t>
  </si>
  <si>
    <t>Reims Collectables</t>
  </si>
  <si>
    <t>PRD_1003</t>
  </si>
  <si>
    <t>Classic Cars</t>
  </si>
  <si>
    <t>Lyon Souveniers</t>
  </si>
  <si>
    <t>On Hold</t>
  </si>
  <si>
    <t>PRD_1004</t>
  </si>
  <si>
    <t>Buses</t>
  </si>
  <si>
    <t>Toys4GrownUps</t>
  </si>
  <si>
    <t>PRD_1005</t>
  </si>
  <si>
    <t>Trucks</t>
  </si>
  <si>
    <t>Corporate Gift</t>
  </si>
  <si>
    <t>4, 4</t>
  </si>
  <si>
    <t>780, 850</t>
  </si>
  <si>
    <t>PRD_1004, PRD_1005</t>
  </si>
  <si>
    <t>Buses, Trucks</t>
  </si>
  <si>
    <t>800, 900</t>
  </si>
  <si>
    <t>Auto Canal</t>
  </si>
  <si>
    <t>Customer Details</t>
  </si>
  <si>
    <t>Sales Details</t>
  </si>
  <si>
    <t>Address_Line1</t>
  </si>
  <si>
    <t>Address_Line2</t>
  </si>
  <si>
    <t>City</t>
  </si>
  <si>
    <t>State</t>
  </si>
  <si>
    <t>PostalCode</t>
  </si>
  <si>
    <t>Country</t>
  </si>
  <si>
    <t>Territory</t>
  </si>
  <si>
    <t>Sales_Contact_Name</t>
  </si>
  <si>
    <t>Deal_Size</t>
  </si>
  <si>
    <t>897 Long Airport, Avenue</t>
  </si>
  <si>
    <t>NYC</t>
  </si>
  <si>
    <t>NY</t>
  </si>
  <si>
    <t>USA</t>
  </si>
  <si>
    <t>HAWAII</t>
  </si>
  <si>
    <t>Kwai</t>
  </si>
  <si>
    <t>Small</t>
  </si>
  <si>
    <t>59 rue de abbaye</t>
  </si>
  <si>
    <t>Reims</t>
  </si>
  <si>
    <t>France</t>
  </si>
  <si>
    <t>MARTINIQUE</t>
  </si>
  <si>
    <t>Paul</t>
  </si>
  <si>
    <t>Medium</t>
  </si>
  <si>
    <t>27 rue de Colonel Pierre Avia</t>
  </si>
  <si>
    <t>Paris</t>
  </si>
  <si>
    <t>Daniel</t>
  </si>
  <si>
    <t>78934 Hillside Dr</t>
  </si>
  <si>
    <t>Pasadena</t>
  </si>
  <si>
    <t>CA</t>
  </si>
  <si>
    <t>Julie</t>
  </si>
  <si>
    <t>High</t>
  </si>
  <si>
    <t>7734 Strong st.</t>
  </si>
  <si>
    <t>San Francisco</t>
  </si>
  <si>
    <t>25, rue, Lauriston</t>
  </si>
  <si>
    <t>Dominique</t>
  </si>
  <si>
    <t>1NF</t>
  </si>
  <si>
    <t>NORMILIZATION</t>
  </si>
  <si>
    <t>for 1nf</t>
  </si>
  <si>
    <t>No multivalued attributes</t>
  </si>
  <si>
    <t>No repeating groups</t>
  </si>
  <si>
    <r>
      <t xml:space="preserve">Each field contains </t>
    </r>
    <r>
      <rPr>
        <b/>
        <sz val="13"/>
        <color theme="1"/>
        <rFont val="Times New Roman"/>
        <family val="1"/>
      </rPr>
      <t>atomic (single) values</t>
    </r>
  </si>
  <si>
    <t>green color = changes done</t>
  </si>
  <si>
    <t>2NF</t>
  </si>
  <si>
    <r>
      <t>No partial dependency</t>
    </r>
    <r>
      <rPr>
        <sz val="11"/>
        <color theme="1"/>
        <rFont val="Aptos Narrow"/>
        <family val="2"/>
        <scheme val="minor"/>
      </rPr>
      <t xml:space="preserve"> exists</t>
    </r>
  </si>
  <si>
    <r>
      <t xml:space="preserve">→ Every </t>
    </r>
    <r>
      <rPr>
        <b/>
        <sz val="11"/>
        <color theme="1"/>
        <rFont val="Aptos Narrow"/>
        <family val="2"/>
        <scheme val="minor"/>
      </rPr>
      <t>non-prime attribute</t>
    </r>
    <r>
      <rPr>
        <sz val="11"/>
        <color theme="1"/>
        <rFont val="Aptos Narrow"/>
        <family val="2"/>
        <scheme val="minor"/>
      </rPr>
      <t xml:space="preserve"> must depend on the </t>
    </r>
    <r>
      <rPr>
        <b/>
        <sz val="11"/>
        <color theme="1"/>
        <rFont val="Aptos Narrow"/>
        <family val="2"/>
        <scheme val="minor"/>
      </rPr>
      <t>whole primary key</t>
    </r>
    <r>
      <rPr>
        <sz val="11"/>
        <color theme="1"/>
        <rFont val="Aptos Narrow"/>
        <family val="2"/>
        <scheme val="minor"/>
      </rPr>
      <t>, not part of it</t>
    </r>
  </si>
  <si>
    <t>It is already in 1NF ✅</t>
  </si>
  <si>
    <t>for 2nf</t>
  </si>
  <si>
    <t>Order_ID</t>
  </si>
  <si>
    <t>Ord_01</t>
  </si>
  <si>
    <t>Ord_02</t>
  </si>
  <si>
    <t>Ord_03</t>
  </si>
  <si>
    <t>Ord_04</t>
  </si>
  <si>
    <t>Ord_05</t>
  </si>
  <si>
    <t>Ord_06</t>
  </si>
  <si>
    <t>Ord_07</t>
  </si>
  <si>
    <t>created separated tables with primary key</t>
  </si>
  <si>
    <t>Relation Table</t>
  </si>
  <si>
    <t>Product_code</t>
  </si>
  <si>
    <t>Customer_id</t>
  </si>
  <si>
    <t>Cust_01</t>
  </si>
  <si>
    <t>Cust_02</t>
  </si>
  <si>
    <t>Cust_03</t>
  </si>
  <si>
    <t>Cust_04</t>
  </si>
  <si>
    <t>Cust_05</t>
  </si>
  <si>
    <t>Cust_06</t>
  </si>
  <si>
    <t>Cust_07</t>
  </si>
  <si>
    <t>Order_details</t>
  </si>
  <si>
    <t>Product_details</t>
  </si>
  <si>
    <t>Customer_details</t>
  </si>
  <si>
    <t>3nf</t>
  </si>
  <si>
    <t>Employee_Table</t>
  </si>
  <si>
    <t>Emp_ID</t>
  </si>
  <si>
    <t>Emp_Name</t>
  </si>
  <si>
    <t>Emp_01</t>
  </si>
  <si>
    <t>Emp_02</t>
  </si>
  <si>
    <t>Emp_03</t>
  </si>
  <si>
    <t>Kawi</t>
  </si>
  <si>
    <t>Emp_04</t>
  </si>
  <si>
    <t>Emp_05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</si>
</sst>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5"/>
      </right>
      <top/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5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0" fontId="1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9" borderId="0" xfId="0" applyFill="1" applyAlignment="1">
      <alignment horizontal="center"/>
    </xf>
    <xf numFmtId="16" fontId="0" fillId="9" borderId="0" xfId="0" applyNumberFormat="1" applyFill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164" fontId="0" fillId="9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0" xfId="0" applyFont="1" applyFill="1"/>
    <xf numFmtId="0" fontId="0" fillId="0" borderId="1" xfId="0" applyBorder="1"/>
    <xf numFmtId="0" fontId="6" fillId="10" borderId="0" xfId="0" applyFont="1" applyFill="1"/>
    <xf numFmtId="0" fontId="0" fillId="10" borderId="0" xfId="0" applyFill="1"/>
    <xf numFmtId="0" fontId="1" fillId="12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7" borderId="0" xfId="0" applyFont="1" applyFill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8" borderId="0" xfId="0" applyFill="1" applyAlignment="1">
      <alignment horizontal="center"/>
    </xf>
    <xf numFmtId="0" fontId="5" fillId="5" borderId="0" xfId="0" applyFont="1" applyFill="1" applyAlignment="1">
      <alignment horizontal="left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5" borderId="0" xfId="0" applyFont="1" applyFill="1" applyAlignment="1">
      <alignment horizontal="left"/>
    </xf>
    <xf numFmtId="0" fontId="3" fillId="6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6" fillId="7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8" borderId="1" xfId="0" applyFill="1" applyBorder="1"/>
    <xf numFmtId="0" fontId="0" fillId="9" borderId="1" xfId="0" applyFill="1" applyBorder="1" applyAlignment="1">
      <alignment horizontal="center"/>
    </xf>
  </cellXfs>
  <cellStyles count="1">
    <cellStyle name="Normal" xfId="0" builtinId="0"/>
  </cellStyles>
  <dxfs count="3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\-m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\-m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\-m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D97EC2-778C-45A9-926C-D6DDCA2824B0}" name="Table1" displayName="Table1" ref="A2:K8" totalsRowShown="0" headerRowDxfId="38" dataDxfId="37">
  <tableColumns count="11">
    <tableColumn id="1" xr3:uid="{734E8A01-7AE4-422C-A923-AB9DA24EC6D2}" name="Order_number" dataDxfId="36"/>
    <tableColumn id="2" xr3:uid="{9D1570C6-72D1-49BC-9B72-A14A7560AF40}" name="Quantity" dataDxfId="35"/>
    <tableColumn id="3" xr3:uid="{291DDCA8-1212-4557-AE03-ED58D1E4F8BE}" name="Iterm_Price" dataDxfId="34"/>
    <tableColumn id="4" xr3:uid="{CFFB6940-CC52-47C9-8CF9-481838C6134A}" name="Total_Cost" dataDxfId="33"/>
    <tableColumn id="5" xr3:uid="{3D58389A-755E-4126-9D9A-C5854A47786F}" name="Order_Date" dataDxfId="32"/>
    <tableColumn id="6" xr3:uid="{C81A162D-72FE-4B49-8933-C6BFE0B4D5DC}" name="Status" dataDxfId="31"/>
    <tableColumn id="7" xr3:uid="{80322CBC-960A-4E2E-8DA6-51F97149D09D}" name="Product_Code" dataDxfId="30"/>
    <tableColumn id="8" xr3:uid="{2A43027B-EB88-4705-8D24-497CB381FB83}" name="Product_Name" dataDxfId="29"/>
    <tableColumn id="9" xr3:uid="{2E779C1E-C6DA-44AF-9D10-1F2A6BF0C5DA}" name="Product_Price" dataDxfId="28"/>
    <tableColumn id="10" xr3:uid="{D0684997-C2E4-4A7E-BAC1-D978EE38F34D}" name="Customer_Name" dataDxfId="27"/>
    <tableColumn id="11" xr3:uid="{EA299C8B-11CB-4BBD-B7D1-F015CD2581B2}" name="Phone" dataDxfId="26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289EB7-DCDB-4EA7-99AB-0871E495012E}" name="Table13" displayName="Table13" ref="A13:K20" totalsRowShown="0" headerRowDxfId="25" dataDxfId="24">
  <tableColumns count="11">
    <tableColumn id="1" xr3:uid="{6DE4405D-5A66-4A9F-BC5F-7149A5DB60C4}" name="Order_number" dataDxfId="23"/>
    <tableColumn id="2" xr3:uid="{0050EE7F-58F3-49B5-9977-06C56FC245EA}" name="Quantity" dataDxfId="22"/>
    <tableColumn id="3" xr3:uid="{BDE74089-E3A8-4383-8FFE-3962D2401F9B}" name="Iterm_Price" dataDxfId="21"/>
    <tableColumn id="4" xr3:uid="{6E5C2DC7-47C2-4D3B-A599-49610015D98C}" name="Total_Cost" dataDxfId="20"/>
    <tableColumn id="5" xr3:uid="{BA01C540-0FD5-426D-9C03-3628B2863D9E}" name="Order_Date" dataDxfId="19"/>
    <tableColumn id="6" xr3:uid="{4E15A8B5-E396-4643-AD36-8CED046DE888}" name="Status" dataDxfId="18"/>
    <tableColumn id="7" xr3:uid="{ADAEACAE-4A31-4FFD-BF63-A25E64D9F68E}" name="Product_Code" dataDxfId="17"/>
    <tableColumn id="8" xr3:uid="{B0D0BAA0-FDB0-4D0F-8865-751D9CFBDC82}" name="Product_Name" dataDxfId="16"/>
    <tableColumn id="9" xr3:uid="{CF69B04A-4E66-41FD-86CF-997B8BE021CF}" name="Product_Price" dataDxfId="15"/>
    <tableColumn id="10" xr3:uid="{D7933490-D689-4678-A1B5-3964EA3984B6}" name="Customer_Name" dataDxfId="14"/>
    <tableColumn id="11" xr3:uid="{9006AD6C-1D07-4F69-84F1-60BD81A15FA1}" name="Phone" dataDxfId="13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5A9A43-7391-41BA-B066-E831067D8018}" name="Table134" displayName="Table134" ref="A30:K37" totalsRowShown="0" headerRowDxfId="12" dataDxfId="11">
  <tableColumns count="11">
    <tableColumn id="1" xr3:uid="{D184823F-43CD-43B0-B36E-3BAAB9AE8673}" name="Order_number" dataDxfId="10"/>
    <tableColumn id="2" xr3:uid="{8A4EFDC3-546C-4A84-B18F-A1974EC278B0}" name="Quantity" dataDxfId="9"/>
    <tableColumn id="3" xr3:uid="{93CA1640-22CA-4206-8385-5E75414E24EA}" name="Iterm_Price" dataDxfId="8"/>
    <tableColumn id="4" xr3:uid="{54193442-E2C5-417E-8887-357DDBAA833D}" name="Total_Cost" dataDxfId="7"/>
    <tableColumn id="5" xr3:uid="{AF8C6D9A-FF51-4BAA-810F-1089D0EF7D9A}" name="Order_Date" dataDxfId="6"/>
    <tableColumn id="6" xr3:uid="{BF031C42-4984-4950-8852-153FC4CFE8D2}" name="Status" dataDxfId="5"/>
    <tableColumn id="7" xr3:uid="{61C49568-0FF1-4D6F-A535-D0815C41BE67}" name="Product_Code" dataDxfId="4"/>
    <tableColumn id="8" xr3:uid="{A1D60A4F-7D2E-4B4B-B8D5-CB88FBD3579A}" name="Product_Name" dataDxfId="3"/>
    <tableColumn id="9" xr3:uid="{D107F929-7B72-4FE7-B291-B76B7437DAA0}" name="Product_Price" dataDxfId="2"/>
    <tableColumn id="10" xr3:uid="{836FEF83-2252-4779-B1DC-7EF0754B1D9D}" name="Customer_Name" dataDxfId="1"/>
    <tableColumn id="11" xr3:uid="{A3B910F5-3675-4135-8DE7-53621E358250}" name="Phone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D51F-C42F-48DC-8F0A-3C13AC88800B}">
  <dimension ref="A1:T75"/>
  <sheetViews>
    <sheetView tabSelected="1" topLeftCell="A43" zoomScale="87" zoomScaleNormal="78" workbookViewId="0">
      <selection activeCell="O73" sqref="O73"/>
    </sheetView>
  </sheetViews>
  <sheetFormatPr defaultRowHeight="14.4" x14ac:dyDescent="0.3"/>
  <cols>
    <col min="1" max="1" width="21.88671875" customWidth="1"/>
    <col min="2" max="2" width="13" bestFit="1" customWidth="1"/>
    <col min="3" max="3" width="12.21875" bestFit="1" customWidth="1"/>
    <col min="4" max="4" width="9.5546875" bestFit="1" customWidth="1"/>
    <col min="5" max="5" width="10.33203125" bestFit="1" customWidth="1"/>
    <col min="6" max="6" width="9" bestFit="1" customWidth="1"/>
    <col min="7" max="7" width="18.44140625" bestFit="1" customWidth="1"/>
    <col min="8" max="8" width="16.77734375" customWidth="1"/>
    <col min="9" max="9" width="11.5546875" customWidth="1"/>
    <col min="10" max="10" width="16.44140625" customWidth="1"/>
    <col min="11" max="11" width="9" bestFit="1" customWidth="1"/>
    <col min="12" max="12" width="27.44140625" customWidth="1"/>
    <col min="13" max="13" width="15.109375" customWidth="1"/>
    <col min="14" max="14" width="13.6640625" customWidth="1"/>
    <col min="15" max="15" width="11" customWidth="1"/>
    <col min="16" max="16" width="11.33203125" customWidth="1"/>
    <col min="18" max="18" width="15.33203125" customWidth="1"/>
    <col min="19" max="19" width="21.5546875" customWidth="1"/>
    <col min="20" max="20" width="20" customWidth="1"/>
  </cols>
  <sheetData>
    <row r="1" spans="1:20" x14ac:dyDescent="0.3">
      <c r="A1" s="47" t="s">
        <v>0</v>
      </c>
      <c r="B1" s="47"/>
      <c r="C1" s="47"/>
      <c r="D1" s="47"/>
      <c r="E1" s="47"/>
      <c r="F1" s="47"/>
      <c r="G1" s="47" t="s">
        <v>1</v>
      </c>
      <c r="H1" s="47"/>
      <c r="I1" s="47"/>
      <c r="J1" s="1"/>
      <c r="K1" s="1"/>
      <c r="L1" s="47" t="s">
        <v>37</v>
      </c>
      <c r="M1" s="47"/>
      <c r="N1" s="47"/>
      <c r="O1" s="47"/>
      <c r="P1" s="47"/>
      <c r="Q1" s="47"/>
      <c r="R1" s="47"/>
      <c r="S1" s="47" t="s">
        <v>38</v>
      </c>
      <c r="T1" s="47"/>
    </row>
    <row r="2" spans="1:20" x14ac:dyDescent="0.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3" t="s">
        <v>8</v>
      </c>
      <c r="H2" s="3" t="s">
        <v>9</v>
      </c>
      <c r="I2" s="3" t="s">
        <v>10</v>
      </c>
      <c r="J2" s="4" t="s">
        <v>11</v>
      </c>
      <c r="K2" s="4" t="s">
        <v>12</v>
      </c>
      <c r="L2" s="6" t="s">
        <v>39</v>
      </c>
      <c r="M2" s="6" t="s">
        <v>40</v>
      </c>
      <c r="N2" s="6" t="s">
        <v>41</v>
      </c>
      <c r="O2" s="6" t="s">
        <v>42</v>
      </c>
      <c r="P2" s="6" t="s">
        <v>43</v>
      </c>
      <c r="Q2" s="6" t="s">
        <v>44</v>
      </c>
      <c r="R2" s="6" t="s">
        <v>45</v>
      </c>
      <c r="S2" s="7" t="s">
        <v>46</v>
      </c>
      <c r="T2" s="8" t="s">
        <v>47</v>
      </c>
    </row>
    <row r="3" spans="1:20" x14ac:dyDescent="0.3">
      <c r="A3" s="1">
        <v>10101</v>
      </c>
      <c r="B3" s="1">
        <v>30</v>
      </c>
      <c r="C3" s="1">
        <v>202</v>
      </c>
      <c r="D3" s="1">
        <f>B3*C3</f>
        <v>6060</v>
      </c>
      <c r="E3" s="5">
        <v>45375</v>
      </c>
      <c r="F3" s="1" t="s">
        <v>13</v>
      </c>
      <c r="G3" s="1" t="s">
        <v>14</v>
      </c>
      <c r="H3" s="1" t="s">
        <v>15</v>
      </c>
      <c r="I3" s="1">
        <v>200</v>
      </c>
      <c r="J3" s="1" t="s">
        <v>16</v>
      </c>
      <c r="K3" s="1">
        <v>64599875</v>
      </c>
      <c r="L3" s="9" t="s">
        <v>48</v>
      </c>
      <c r="M3" s="9"/>
      <c r="N3" s="9" t="s">
        <v>49</v>
      </c>
      <c r="O3" s="9" t="s">
        <v>50</v>
      </c>
      <c r="P3" s="9">
        <v>10022</v>
      </c>
      <c r="Q3" s="9" t="s">
        <v>51</v>
      </c>
      <c r="R3" s="9" t="s">
        <v>52</v>
      </c>
      <c r="S3" s="9" t="s">
        <v>53</v>
      </c>
      <c r="T3" s="10" t="s">
        <v>54</v>
      </c>
    </row>
    <row r="4" spans="1:20" x14ac:dyDescent="0.3">
      <c r="A4" s="1">
        <v>10102</v>
      </c>
      <c r="B4" s="1">
        <v>34</v>
      </c>
      <c r="C4" s="1">
        <v>550</v>
      </c>
      <c r="D4" s="1">
        <f t="shared" ref="D4:D7" si="0">B4*C4</f>
        <v>18700</v>
      </c>
      <c r="E4" s="5">
        <v>45478</v>
      </c>
      <c r="F4" s="1" t="s">
        <v>17</v>
      </c>
      <c r="G4" s="1" t="s">
        <v>18</v>
      </c>
      <c r="H4" s="1" t="s">
        <v>19</v>
      </c>
      <c r="I4" s="1">
        <v>500</v>
      </c>
      <c r="J4" s="1" t="s">
        <v>20</v>
      </c>
      <c r="K4" s="1">
        <v>46879954</v>
      </c>
      <c r="L4" s="9" t="s">
        <v>55</v>
      </c>
      <c r="M4" s="9"/>
      <c r="N4" s="9" t="s">
        <v>56</v>
      </c>
      <c r="O4" s="9"/>
      <c r="P4" s="9">
        <v>51100</v>
      </c>
      <c r="Q4" s="9" t="s">
        <v>57</v>
      </c>
      <c r="R4" s="9" t="s">
        <v>58</v>
      </c>
      <c r="S4" s="9" t="s">
        <v>59</v>
      </c>
      <c r="T4" s="10" t="s">
        <v>60</v>
      </c>
    </row>
    <row r="5" spans="1:20" x14ac:dyDescent="0.3">
      <c r="A5" s="1">
        <v>10103</v>
      </c>
      <c r="B5" s="1">
        <v>41</v>
      </c>
      <c r="C5" s="1">
        <v>420</v>
      </c>
      <c r="D5" s="1">
        <f t="shared" si="0"/>
        <v>17220</v>
      </c>
      <c r="E5" s="5">
        <v>45474</v>
      </c>
      <c r="F5" s="1" t="s">
        <v>13</v>
      </c>
      <c r="G5" s="1" t="s">
        <v>21</v>
      </c>
      <c r="H5" s="1" t="s">
        <v>22</v>
      </c>
      <c r="I5" s="1">
        <v>400</v>
      </c>
      <c r="J5" s="1" t="s">
        <v>23</v>
      </c>
      <c r="K5" s="1">
        <v>46875689</v>
      </c>
      <c r="L5" s="9" t="s">
        <v>61</v>
      </c>
      <c r="M5" s="9"/>
      <c r="N5" s="9" t="s">
        <v>62</v>
      </c>
      <c r="O5" s="9"/>
      <c r="P5" s="9">
        <v>75508</v>
      </c>
      <c r="Q5" s="9" t="s">
        <v>57</v>
      </c>
      <c r="R5" s="9" t="s">
        <v>58</v>
      </c>
      <c r="S5" s="9" t="s">
        <v>63</v>
      </c>
      <c r="T5" s="10" t="s">
        <v>60</v>
      </c>
    </row>
    <row r="6" spans="1:20" x14ac:dyDescent="0.3">
      <c r="A6" s="1">
        <v>10104</v>
      </c>
      <c r="B6" s="1">
        <v>45</v>
      </c>
      <c r="C6" s="1">
        <v>780</v>
      </c>
      <c r="D6" s="1">
        <f t="shared" si="0"/>
        <v>35100</v>
      </c>
      <c r="E6" s="5">
        <v>45529</v>
      </c>
      <c r="F6" s="1" t="s">
        <v>24</v>
      </c>
      <c r="G6" s="1" t="s">
        <v>25</v>
      </c>
      <c r="H6" s="1" t="s">
        <v>26</v>
      </c>
      <c r="I6" s="1">
        <v>800</v>
      </c>
      <c r="J6" s="1" t="s">
        <v>27</v>
      </c>
      <c r="K6" s="1">
        <v>13354992</v>
      </c>
      <c r="L6" s="9" t="s">
        <v>64</v>
      </c>
      <c r="M6" s="9"/>
      <c r="N6" s="9" t="s">
        <v>65</v>
      </c>
      <c r="O6" s="9" t="s">
        <v>66</v>
      </c>
      <c r="P6" s="9">
        <v>90003</v>
      </c>
      <c r="Q6" s="9" t="s">
        <v>51</v>
      </c>
      <c r="R6" s="9" t="s">
        <v>52</v>
      </c>
      <c r="S6" s="9" t="s">
        <v>67</v>
      </c>
      <c r="T6" s="10" t="s">
        <v>68</v>
      </c>
    </row>
    <row r="7" spans="1:20" x14ac:dyDescent="0.3">
      <c r="A7" s="1">
        <v>10105</v>
      </c>
      <c r="B7" s="1">
        <v>49</v>
      </c>
      <c r="C7" s="1">
        <v>850</v>
      </c>
      <c r="D7" s="1">
        <f t="shared" si="0"/>
        <v>41650</v>
      </c>
      <c r="E7" s="5">
        <v>45575</v>
      </c>
      <c r="F7" s="1" t="s">
        <v>13</v>
      </c>
      <c r="G7" s="1" t="s">
        <v>28</v>
      </c>
      <c r="H7" s="1" t="s">
        <v>29</v>
      </c>
      <c r="I7" s="1">
        <v>900</v>
      </c>
      <c r="J7" s="1" t="s">
        <v>30</v>
      </c>
      <c r="K7" s="1">
        <v>98249631</v>
      </c>
      <c r="L7" s="9" t="s">
        <v>69</v>
      </c>
      <c r="M7" s="9"/>
      <c r="N7" s="9" t="s">
        <v>70</v>
      </c>
      <c r="O7" s="9" t="s">
        <v>66</v>
      </c>
      <c r="P7" s="9"/>
      <c r="Q7" s="9" t="s">
        <v>51</v>
      </c>
      <c r="R7" s="9" t="s">
        <v>52</v>
      </c>
      <c r="S7" s="9" t="s">
        <v>67</v>
      </c>
      <c r="T7" s="10" t="s">
        <v>68</v>
      </c>
    </row>
    <row r="8" spans="1:20" x14ac:dyDescent="0.3">
      <c r="A8" s="1">
        <v>10106</v>
      </c>
      <c r="B8" s="1" t="s">
        <v>31</v>
      </c>
      <c r="C8" s="1" t="s">
        <v>32</v>
      </c>
      <c r="D8" s="1">
        <v>6520</v>
      </c>
      <c r="E8" s="5">
        <v>45419</v>
      </c>
      <c r="F8" s="1" t="s">
        <v>13</v>
      </c>
      <c r="G8" s="1" t="s">
        <v>33</v>
      </c>
      <c r="H8" s="1" t="s">
        <v>34</v>
      </c>
      <c r="I8" s="1" t="s">
        <v>35</v>
      </c>
      <c r="J8" s="1" t="s">
        <v>36</v>
      </c>
      <c r="K8" s="1">
        <v>78785462</v>
      </c>
      <c r="L8" s="11" t="s">
        <v>71</v>
      </c>
      <c r="M8" s="11"/>
      <c r="N8" s="11" t="s">
        <v>62</v>
      </c>
      <c r="O8" s="11"/>
      <c r="P8" s="11">
        <v>75016</v>
      </c>
      <c r="Q8" s="11" t="s">
        <v>57</v>
      </c>
      <c r="R8" s="11" t="s">
        <v>58</v>
      </c>
      <c r="S8" s="11" t="s">
        <v>72</v>
      </c>
      <c r="T8" s="12" t="s">
        <v>54</v>
      </c>
    </row>
    <row r="9" spans="1:20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20" x14ac:dyDescent="0.3">
      <c r="A10" s="46" t="s">
        <v>74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</row>
    <row r="11" spans="1:20" x14ac:dyDescent="0.3">
      <c r="A11" s="37" t="s">
        <v>73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</row>
    <row r="12" spans="1:20" x14ac:dyDescent="0.3">
      <c r="A12" s="38" t="s">
        <v>0</v>
      </c>
      <c r="B12" s="39"/>
      <c r="C12" s="39"/>
      <c r="D12" s="39"/>
      <c r="E12" s="39"/>
      <c r="F12" s="40"/>
      <c r="G12" s="38" t="s">
        <v>1</v>
      </c>
      <c r="H12" s="39"/>
      <c r="I12" s="40"/>
      <c r="J12" s="1"/>
      <c r="K12" s="1"/>
      <c r="L12" s="38" t="s">
        <v>37</v>
      </c>
      <c r="M12" s="39"/>
      <c r="N12" s="39"/>
      <c r="O12" s="39"/>
      <c r="P12" s="39"/>
      <c r="Q12" s="39"/>
      <c r="R12" s="40"/>
      <c r="S12" s="38" t="s">
        <v>38</v>
      </c>
      <c r="T12" s="40"/>
    </row>
    <row r="13" spans="1:20" x14ac:dyDescent="0.3">
      <c r="A13" s="2" t="s">
        <v>2</v>
      </c>
      <c r="B13" s="2" t="s">
        <v>3</v>
      </c>
      <c r="C13" s="2" t="s">
        <v>4</v>
      </c>
      <c r="D13" s="2" t="s">
        <v>5</v>
      </c>
      <c r="E13" s="2" t="s">
        <v>6</v>
      </c>
      <c r="F13" s="2" t="s">
        <v>7</v>
      </c>
      <c r="G13" s="3" t="s">
        <v>8</v>
      </c>
      <c r="H13" s="3" t="s">
        <v>9</v>
      </c>
      <c r="I13" s="3" t="s">
        <v>10</v>
      </c>
      <c r="J13" s="4" t="s">
        <v>11</v>
      </c>
      <c r="K13" s="4" t="s">
        <v>12</v>
      </c>
      <c r="L13" s="6" t="s">
        <v>39</v>
      </c>
      <c r="M13" s="6" t="s">
        <v>40</v>
      </c>
      <c r="N13" s="6" t="s">
        <v>41</v>
      </c>
      <c r="O13" s="6" t="s">
        <v>42</v>
      </c>
      <c r="P13" s="6" t="s">
        <v>43</v>
      </c>
      <c r="Q13" s="6" t="s">
        <v>44</v>
      </c>
      <c r="R13" s="6" t="s">
        <v>45</v>
      </c>
      <c r="S13" s="7" t="s">
        <v>46</v>
      </c>
      <c r="T13" s="8" t="s">
        <v>47</v>
      </c>
    </row>
    <row r="14" spans="1:20" x14ac:dyDescent="0.3">
      <c r="A14" s="1">
        <v>10101</v>
      </c>
      <c r="B14" s="1">
        <v>30</v>
      </c>
      <c r="C14" s="1">
        <v>202</v>
      </c>
      <c r="D14" s="1">
        <f>B14*C14</f>
        <v>6060</v>
      </c>
      <c r="E14" s="5">
        <v>45375</v>
      </c>
      <c r="F14" s="1" t="s">
        <v>13</v>
      </c>
      <c r="G14" s="1" t="s">
        <v>14</v>
      </c>
      <c r="H14" s="1" t="s">
        <v>15</v>
      </c>
      <c r="I14" s="1">
        <v>200</v>
      </c>
      <c r="J14" s="1" t="s">
        <v>16</v>
      </c>
      <c r="K14" s="1">
        <v>64599875</v>
      </c>
      <c r="L14" s="9" t="s">
        <v>48</v>
      </c>
      <c r="M14" s="9"/>
      <c r="N14" s="9" t="s">
        <v>49</v>
      </c>
      <c r="O14" s="9" t="s">
        <v>50</v>
      </c>
      <c r="P14" s="9">
        <v>10022</v>
      </c>
      <c r="Q14" s="9" t="s">
        <v>51</v>
      </c>
      <c r="R14" s="9" t="s">
        <v>52</v>
      </c>
      <c r="S14" s="9" t="s">
        <v>53</v>
      </c>
      <c r="T14" s="10" t="s">
        <v>54</v>
      </c>
    </row>
    <row r="15" spans="1:20" x14ac:dyDescent="0.3">
      <c r="A15" s="1">
        <v>10102</v>
      </c>
      <c r="B15" s="1">
        <v>34</v>
      </c>
      <c r="C15" s="1">
        <v>550</v>
      </c>
      <c r="D15" s="1">
        <f t="shared" ref="D15:D18" si="1">B15*C15</f>
        <v>18700</v>
      </c>
      <c r="E15" s="5">
        <v>45478</v>
      </c>
      <c r="F15" s="1" t="s">
        <v>17</v>
      </c>
      <c r="G15" s="1" t="s">
        <v>18</v>
      </c>
      <c r="H15" s="1" t="s">
        <v>19</v>
      </c>
      <c r="I15" s="1">
        <v>500</v>
      </c>
      <c r="J15" s="1" t="s">
        <v>20</v>
      </c>
      <c r="K15" s="1">
        <v>46879954</v>
      </c>
      <c r="L15" s="9" t="s">
        <v>55</v>
      </c>
      <c r="M15" s="9"/>
      <c r="N15" s="9" t="s">
        <v>56</v>
      </c>
      <c r="O15" s="9"/>
      <c r="P15" s="9">
        <v>51100</v>
      </c>
      <c r="Q15" s="9" t="s">
        <v>57</v>
      </c>
      <c r="R15" s="9" t="s">
        <v>58</v>
      </c>
      <c r="S15" s="9" t="s">
        <v>59</v>
      </c>
      <c r="T15" s="10" t="s">
        <v>60</v>
      </c>
    </row>
    <row r="16" spans="1:20" x14ac:dyDescent="0.3">
      <c r="A16" s="1">
        <v>10103</v>
      </c>
      <c r="B16" s="1">
        <v>41</v>
      </c>
      <c r="C16" s="1">
        <v>420</v>
      </c>
      <c r="D16" s="1">
        <f t="shared" si="1"/>
        <v>17220</v>
      </c>
      <c r="E16" s="5">
        <v>45474</v>
      </c>
      <c r="F16" s="1" t="s">
        <v>13</v>
      </c>
      <c r="G16" s="1" t="s">
        <v>21</v>
      </c>
      <c r="H16" s="1" t="s">
        <v>22</v>
      </c>
      <c r="I16" s="1">
        <v>400</v>
      </c>
      <c r="J16" s="1" t="s">
        <v>23</v>
      </c>
      <c r="K16" s="1">
        <v>46875689</v>
      </c>
      <c r="L16" s="9" t="s">
        <v>61</v>
      </c>
      <c r="M16" s="9"/>
      <c r="N16" s="9" t="s">
        <v>62</v>
      </c>
      <c r="O16" s="9"/>
      <c r="P16" s="9">
        <v>75508</v>
      </c>
      <c r="Q16" s="9" t="s">
        <v>57</v>
      </c>
      <c r="R16" s="9" t="s">
        <v>58</v>
      </c>
      <c r="S16" s="9" t="s">
        <v>63</v>
      </c>
      <c r="T16" s="10" t="s">
        <v>60</v>
      </c>
    </row>
    <row r="17" spans="1:20" x14ac:dyDescent="0.3">
      <c r="A17" s="1">
        <v>10104</v>
      </c>
      <c r="B17" s="1">
        <v>45</v>
      </c>
      <c r="C17" s="1">
        <v>780</v>
      </c>
      <c r="D17" s="1">
        <f t="shared" si="1"/>
        <v>35100</v>
      </c>
      <c r="E17" s="5">
        <v>45529</v>
      </c>
      <c r="F17" s="1" t="s">
        <v>24</v>
      </c>
      <c r="G17" s="1" t="s">
        <v>25</v>
      </c>
      <c r="H17" s="1" t="s">
        <v>26</v>
      </c>
      <c r="I17" s="1">
        <v>800</v>
      </c>
      <c r="J17" s="1" t="s">
        <v>27</v>
      </c>
      <c r="K17" s="1">
        <v>13354992</v>
      </c>
      <c r="L17" s="9" t="s">
        <v>64</v>
      </c>
      <c r="M17" s="9"/>
      <c r="N17" s="9" t="s">
        <v>65</v>
      </c>
      <c r="O17" s="9" t="s">
        <v>66</v>
      </c>
      <c r="P17" s="9">
        <v>90003</v>
      </c>
      <c r="Q17" s="9" t="s">
        <v>51</v>
      </c>
      <c r="R17" s="9" t="s">
        <v>52</v>
      </c>
      <c r="S17" s="9" t="s">
        <v>67</v>
      </c>
      <c r="T17" s="10" t="s">
        <v>68</v>
      </c>
    </row>
    <row r="18" spans="1:20" x14ac:dyDescent="0.3">
      <c r="A18" s="1">
        <v>10105</v>
      </c>
      <c r="B18" s="1">
        <v>49</v>
      </c>
      <c r="C18" s="1">
        <v>850</v>
      </c>
      <c r="D18" s="1">
        <f t="shared" si="1"/>
        <v>41650</v>
      </c>
      <c r="E18" s="5">
        <v>45575</v>
      </c>
      <c r="F18" s="1" t="s">
        <v>13</v>
      </c>
      <c r="G18" s="1" t="s">
        <v>28</v>
      </c>
      <c r="H18" s="1" t="s">
        <v>29</v>
      </c>
      <c r="I18" s="1">
        <v>900</v>
      </c>
      <c r="J18" s="1" t="s">
        <v>30</v>
      </c>
      <c r="K18" s="1">
        <v>98249631</v>
      </c>
      <c r="L18" s="9" t="s">
        <v>69</v>
      </c>
      <c r="M18" s="9"/>
      <c r="N18" s="9" t="s">
        <v>70</v>
      </c>
      <c r="O18" s="9" t="s">
        <v>66</v>
      </c>
      <c r="P18" s="9"/>
      <c r="Q18" s="9" t="s">
        <v>51</v>
      </c>
      <c r="R18" s="9" t="s">
        <v>52</v>
      </c>
      <c r="S18" s="9" t="s">
        <v>67</v>
      </c>
      <c r="T18" s="10" t="s">
        <v>68</v>
      </c>
    </row>
    <row r="19" spans="1:20" x14ac:dyDescent="0.3">
      <c r="A19" s="15">
        <v>10106</v>
      </c>
      <c r="B19" s="15">
        <v>4</v>
      </c>
      <c r="C19" s="15">
        <v>780</v>
      </c>
      <c r="D19" s="15">
        <v>3120</v>
      </c>
      <c r="E19" s="16">
        <v>45419</v>
      </c>
      <c r="F19" s="15" t="s">
        <v>13</v>
      </c>
      <c r="G19" s="15" t="s">
        <v>25</v>
      </c>
      <c r="H19" s="15" t="s">
        <v>26</v>
      </c>
      <c r="I19" s="15">
        <v>800</v>
      </c>
      <c r="J19" s="15" t="s">
        <v>36</v>
      </c>
      <c r="K19" s="15">
        <v>78785462</v>
      </c>
      <c r="L19" s="17" t="s">
        <v>71</v>
      </c>
      <c r="M19" s="17"/>
      <c r="N19" s="17" t="s">
        <v>62</v>
      </c>
      <c r="O19" s="17"/>
      <c r="P19" s="17">
        <v>75016</v>
      </c>
      <c r="Q19" s="17" t="s">
        <v>57</v>
      </c>
      <c r="R19" s="17" t="s">
        <v>58</v>
      </c>
      <c r="S19" s="17" t="s">
        <v>72</v>
      </c>
      <c r="T19" s="18" t="s">
        <v>54</v>
      </c>
    </row>
    <row r="20" spans="1:20" x14ac:dyDescent="0.3">
      <c r="A20" s="15">
        <v>10106</v>
      </c>
      <c r="B20" s="15">
        <v>4</v>
      </c>
      <c r="C20" s="15">
        <v>850</v>
      </c>
      <c r="D20" s="15">
        <v>3400</v>
      </c>
      <c r="E20" s="19">
        <v>45784</v>
      </c>
      <c r="F20" s="15" t="s">
        <v>13</v>
      </c>
      <c r="G20" s="15" t="s">
        <v>28</v>
      </c>
      <c r="H20" s="15" t="s">
        <v>29</v>
      </c>
      <c r="I20" s="15">
        <v>900</v>
      </c>
      <c r="J20" s="15" t="s">
        <v>36</v>
      </c>
      <c r="K20" s="15">
        <v>78785462</v>
      </c>
      <c r="L20" s="17" t="s">
        <v>71</v>
      </c>
      <c r="M20" s="17"/>
      <c r="N20" s="17" t="s">
        <v>62</v>
      </c>
      <c r="O20" s="17"/>
      <c r="P20" s="17">
        <v>75016</v>
      </c>
      <c r="Q20" s="17" t="s">
        <v>57</v>
      </c>
      <c r="R20" s="17" t="s">
        <v>58</v>
      </c>
      <c r="S20" s="17" t="s">
        <v>72</v>
      </c>
      <c r="T20" s="18" t="s">
        <v>54</v>
      </c>
    </row>
    <row r="22" spans="1:20" ht="16.8" x14ac:dyDescent="0.3">
      <c r="A22" s="43" t="s">
        <v>75</v>
      </c>
      <c r="B22" s="43"/>
      <c r="C22" s="43"/>
    </row>
    <row r="23" spans="1:20" ht="16.8" x14ac:dyDescent="0.3">
      <c r="A23" s="45" t="s">
        <v>78</v>
      </c>
      <c r="B23" s="45"/>
      <c r="C23" s="45"/>
      <c r="D23" s="44" t="s">
        <v>79</v>
      </c>
      <c r="E23" s="44"/>
      <c r="F23" s="44"/>
    </row>
    <row r="24" spans="1:20" ht="16.8" x14ac:dyDescent="0.3">
      <c r="A24" s="45" t="s">
        <v>76</v>
      </c>
      <c r="B24" s="45"/>
      <c r="C24" s="45"/>
    </row>
    <row r="25" spans="1:20" ht="16.8" x14ac:dyDescent="0.3">
      <c r="A25" s="42" t="s">
        <v>77</v>
      </c>
      <c r="B25" s="42"/>
      <c r="C25" s="42"/>
    </row>
    <row r="28" spans="1:20" x14ac:dyDescent="0.3">
      <c r="A28" s="37" t="s">
        <v>80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</row>
    <row r="29" spans="1:20" x14ac:dyDescent="0.3">
      <c r="A29" s="38" t="s">
        <v>0</v>
      </c>
      <c r="B29" s="39"/>
      <c r="C29" s="39"/>
      <c r="D29" s="39"/>
      <c r="E29" s="39"/>
      <c r="F29" s="40"/>
      <c r="G29" s="38" t="s">
        <v>1</v>
      </c>
      <c r="H29" s="39"/>
      <c r="I29" s="40"/>
      <c r="J29" s="1"/>
      <c r="K29" s="1"/>
      <c r="L29" s="38" t="s">
        <v>37</v>
      </c>
      <c r="M29" s="39"/>
      <c r="N29" s="39"/>
      <c r="O29" s="39"/>
      <c r="P29" s="39"/>
      <c r="Q29" s="39"/>
      <c r="R29" s="40"/>
      <c r="S29" s="38" t="s">
        <v>38</v>
      </c>
      <c r="T29" s="40"/>
    </row>
    <row r="30" spans="1:20" x14ac:dyDescent="0.3">
      <c r="A30" s="2" t="s">
        <v>2</v>
      </c>
      <c r="B30" s="2" t="s">
        <v>3</v>
      </c>
      <c r="C30" s="2" t="s">
        <v>4</v>
      </c>
      <c r="D30" s="2" t="s">
        <v>5</v>
      </c>
      <c r="E30" s="2" t="s">
        <v>6</v>
      </c>
      <c r="F30" s="2" t="s">
        <v>7</v>
      </c>
      <c r="G30" s="3" t="s">
        <v>8</v>
      </c>
      <c r="H30" s="3" t="s">
        <v>9</v>
      </c>
      <c r="I30" s="3" t="s">
        <v>10</v>
      </c>
      <c r="J30" s="4" t="s">
        <v>11</v>
      </c>
      <c r="K30" s="4" t="s">
        <v>12</v>
      </c>
      <c r="L30" s="6" t="s">
        <v>39</v>
      </c>
      <c r="M30" s="6" t="s">
        <v>40</v>
      </c>
      <c r="N30" s="6" t="s">
        <v>41</v>
      </c>
      <c r="O30" s="6" t="s">
        <v>42</v>
      </c>
      <c r="P30" s="6" t="s">
        <v>43</v>
      </c>
      <c r="Q30" s="6" t="s">
        <v>44</v>
      </c>
      <c r="R30" s="6" t="s">
        <v>45</v>
      </c>
      <c r="S30" s="7" t="s">
        <v>46</v>
      </c>
      <c r="T30" s="8" t="s">
        <v>47</v>
      </c>
    </row>
    <row r="31" spans="1:20" x14ac:dyDescent="0.3">
      <c r="A31" s="1">
        <v>10101</v>
      </c>
      <c r="B31" s="1">
        <v>30</v>
      </c>
      <c r="C31" s="1">
        <v>202</v>
      </c>
      <c r="D31" s="1">
        <f>B31*C31</f>
        <v>6060</v>
      </c>
      <c r="E31" s="5">
        <v>45375</v>
      </c>
      <c r="F31" s="1" t="s">
        <v>13</v>
      </c>
      <c r="G31" s="1" t="s">
        <v>14</v>
      </c>
      <c r="H31" s="1" t="s">
        <v>15</v>
      </c>
      <c r="I31" s="1">
        <v>200</v>
      </c>
      <c r="J31" s="1" t="s">
        <v>16</v>
      </c>
      <c r="K31" s="1">
        <v>64599875</v>
      </c>
      <c r="L31" s="9" t="s">
        <v>48</v>
      </c>
      <c r="M31" s="9"/>
      <c r="N31" s="9" t="s">
        <v>49</v>
      </c>
      <c r="O31" s="9" t="s">
        <v>50</v>
      </c>
      <c r="P31" s="9">
        <v>10022</v>
      </c>
      <c r="Q31" s="9" t="s">
        <v>51</v>
      </c>
      <c r="R31" s="9" t="s">
        <v>52</v>
      </c>
      <c r="S31" s="9" t="s">
        <v>53</v>
      </c>
      <c r="T31" s="10" t="s">
        <v>54</v>
      </c>
    </row>
    <row r="32" spans="1:20" x14ac:dyDescent="0.3">
      <c r="A32" s="1">
        <v>10102</v>
      </c>
      <c r="B32" s="1">
        <v>34</v>
      </c>
      <c r="C32" s="1">
        <v>550</v>
      </c>
      <c r="D32" s="1">
        <f t="shared" ref="D32:D35" si="2">B32*C32</f>
        <v>18700</v>
      </c>
      <c r="E32" s="5">
        <v>45478</v>
      </c>
      <c r="F32" s="1" t="s">
        <v>17</v>
      </c>
      <c r="G32" s="1" t="s">
        <v>18</v>
      </c>
      <c r="H32" s="1" t="s">
        <v>19</v>
      </c>
      <c r="I32" s="1">
        <v>500</v>
      </c>
      <c r="J32" s="1" t="s">
        <v>20</v>
      </c>
      <c r="K32" s="1">
        <v>46879954</v>
      </c>
      <c r="L32" s="9" t="s">
        <v>55</v>
      </c>
      <c r="M32" s="9"/>
      <c r="N32" s="9" t="s">
        <v>56</v>
      </c>
      <c r="O32" s="9"/>
      <c r="P32" s="9">
        <v>51100</v>
      </c>
      <c r="Q32" s="9" t="s">
        <v>57</v>
      </c>
      <c r="R32" s="9" t="s">
        <v>58</v>
      </c>
      <c r="S32" s="9" t="s">
        <v>59</v>
      </c>
      <c r="T32" s="10" t="s">
        <v>60</v>
      </c>
    </row>
    <row r="33" spans="1:20" x14ac:dyDescent="0.3">
      <c r="A33" s="1">
        <v>10103</v>
      </c>
      <c r="B33" s="1">
        <v>41</v>
      </c>
      <c r="C33" s="1">
        <v>420</v>
      </c>
      <c r="D33" s="1">
        <f t="shared" si="2"/>
        <v>17220</v>
      </c>
      <c r="E33" s="5">
        <v>45474</v>
      </c>
      <c r="F33" s="1" t="s">
        <v>13</v>
      </c>
      <c r="G33" s="1" t="s">
        <v>21</v>
      </c>
      <c r="H33" s="1" t="s">
        <v>22</v>
      </c>
      <c r="I33" s="1">
        <v>400</v>
      </c>
      <c r="J33" s="1" t="s">
        <v>23</v>
      </c>
      <c r="K33" s="1">
        <v>46875689</v>
      </c>
      <c r="L33" s="9" t="s">
        <v>61</v>
      </c>
      <c r="M33" s="9"/>
      <c r="N33" s="9" t="s">
        <v>62</v>
      </c>
      <c r="O33" s="9"/>
      <c r="P33" s="9">
        <v>75508</v>
      </c>
      <c r="Q33" s="9" t="s">
        <v>57</v>
      </c>
      <c r="R33" s="9" t="s">
        <v>58</v>
      </c>
      <c r="S33" s="9" t="s">
        <v>63</v>
      </c>
      <c r="T33" s="10" t="s">
        <v>60</v>
      </c>
    </row>
    <row r="34" spans="1:20" x14ac:dyDescent="0.3">
      <c r="A34" s="1">
        <v>10104</v>
      </c>
      <c r="B34" s="1">
        <v>45</v>
      </c>
      <c r="C34" s="1">
        <v>780</v>
      </c>
      <c r="D34" s="1">
        <f t="shared" si="2"/>
        <v>35100</v>
      </c>
      <c r="E34" s="5">
        <v>45529</v>
      </c>
      <c r="F34" s="1" t="s">
        <v>24</v>
      </c>
      <c r="G34" s="1" t="s">
        <v>25</v>
      </c>
      <c r="H34" s="1" t="s">
        <v>26</v>
      </c>
      <c r="I34" s="1">
        <v>800</v>
      </c>
      <c r="J34" s="1" t="s">
        <v>27</v>
      </c>
      <c r="K34" s="1">
        <v>13354992</v>
      </c>
      <c r="L34" s="9" t="s">
        <v>64</v>
      </c>
      <c r="M34" s="9"/>
      <c r="N34" s="9" t="s">
        <v>65</v>
      </c>
      <c r="O34" s="9" t="s">
        <v>66</v>
      </c>
      <c r="P34" s="9">
        <v>90003</v>
      </c>
      <c r="Q34" s="9" t="s">
        <v>51</v>
      </c>
      <c r="R34" s="9" t="s">
        <v>52</v>
      </c>
      <c r="S34" s="9" t="s">
        <v>67</v>
      </c>
      <c r="T34" s="10" t="s">
        <v>68</v>
      </c>
    </row>
    <row r="35" spans="1:20" x14ac:dyDescent="0.3">
      <c r="A35" s="1">
        <v>10105</v>
      </c>
      <c r="B35" s="1">
        <v>49</v>
      </c>
      <c r="C35" s="1">
        <v>850</v>
      </c>
      <c r="D35" s="1">
        <f t="shared" si="2"/>
        <v>41650</v>
      </c>
      <c r="E35" s="5">
        <v>45575</v>
      </c>
      <c r="F35" s="1" t="s">
        <v>13</v>
      </c>
      <c r="G35" s="1" t="s">
        <v>28</v>
      </c>
      <c r="H35" s="1" t="s">
        <v>29</v>
      </c>
      <c r="I35" s="1">
        <v>900</v>
      </c>
      <c r="J35" s="1" t="s">
        <v>30</v>
      </c>
      <c r="K35" s="1">
        <v>98249631</v>
      </c>
      <c r="L35" s="9" t="s">
        <v>69</v>
      </c>
      <c r="M35" s="9"/>
      <c r="N35" s="9" t="s">
        <v>70</v>
      </c>
      <c r="O35" s="9" t="s">
        <v>66</v>
      </c>
      <c r="P35" s="9"/>
      <c r="Q35" s="9" t="s">
        <v>51</v>
      </c>
      <c r="R35" s="9" t="s">
        <v>52</v>
      </c>
      <c r="S35" s="9" t="s">
        <v>67</v>
      </c>
      <c r="T35" s="10" t="s">
        <v>68</v>
      </c>
    </row>
    <row r="36" spans="1:20" x14ac:dyDescent="0.3">
      <c r="A36" s="1">
        <v>10106</v>
      </c>
      <c r="B36" s="1">
        <v>4</v>
      </c>
      <c r="C36" s="1">
        <v>780</v>
      </c>
      <c r="D36" s="1">
        <v>3120</v>
      </c>
      <c r="E36" s="5">
        <v>45419</v>
      </c>
      <c r="F36" s="1" t="s">
        <v>13</v>
      </c>
      <c r="G36" s="1" t="s">
        <v>25</v>
      </c>
      <c r="H36" s="1" t="s">
        <v>26</v>
      </c>
      <c r="I36" s="1">
        <v>800</v>
      </c>
      <c r="J36" s="1" t="s">
        <v>36</v>
      </c>
      <c r="K36" s="1">
        <v>78785462</v>
      </c>
      <c r="L36" s="11" t="s">
        <v>71</v>
      </c>
      <c r="M36" s="11"/>
      <c r="N36" s="11" t="s">
        <v>62</v>
      </c>
      <c r="O36" s="11"/>
      <c r="P36" s="11">
        <v>75016</v>
      </c>
      <c r="Q36" s="11" t="s">
        <v>57</v>
      </c>
      <c r="R36" s="11" t="s">
        <v>58</v>
      </c>
      <c r="S36" s="11" t="s">
        <v>72</v>
      </c>
      <c r="T36" s="12" t="s">
        <v>54</v>
      </c>
    </row>
    <row r="37" spans="1:20" x14ac:dyDescent="0.3">
      <c r="A37" s="1">
        <v>10106</v>
      </c>
      <c r="B37" s="1">
        <v>4</v>
      </c>
      <c r="C37" s="1">
        <v>850</v>
      </c>
      <c r="D37" s="1">
        <v>3400</v>
      </c>
      <c r="E37" s="20">
        <v>45784</v>
      </c>
      <c r="F37" s="1" t="s">
        <v>13</v>
      </c>
      <c r="G37" s="1" t="s">
        <v>28</v>
      </c>
      <c r="H37" s="1" t="s">
        <v>29</v>
      </c>
      <c r="I37" s="1">
        <v>900</v>
      </c>
      <c r="J37" s="1" t="s">
        <v>36</v>
      </c>
      <c r="K37" s="1">
        <v>78785462</v>
      </c>
      <c r="L37" s="11" t="s">
        <v>71</v>
      </c>
      <c r="M37" s="11"/>
      <c r="N37" s="11" t="s">
        <v>62</v>
      </c>
      <c r="O37" s="11"/>
      <c r="P37" s="11">
        <v>75016</v>
      </c>
      <c r="Q37" s="11" t="s">
        <v>57</v>
      </c>
      <c r="R37" s="11" t="s">
        <v>58</v>
      </c>
      <c r="S37" s="11" t="s">
        <v>72</v>
      </c>
      <c r="T37" s="12" t="s">
        <v>54</v>
      </c>
    </row>
    <row r="39" spans="1:20" x14ac:dyDescent="0.3">
      <c r="A39" s="41" t="s">
        <v>84</v>
      </c>
      <c r="B39" s="41"/>
      <c r="C39" s="41"/>
      <c r="D39" s="41"/>
      <c r="E39" s="41"/>
    </row>
    <row r="40" spans="1:20" x14ac:dyDescent="0.3">
      <c r="A40" s="35" t="s">
        <v>83</v>
      </c>
      <c r="B40" s="35"/>
      <c r="C40" s="35"/>
      <c r="D40" s="35"/>
      <c r="E40" s="35"/>
      <c r="F40" s="35"/>
    </row>
    <row r="41" spans="1:20" ht="17.399999999999999" x14ac:dyDescent="0.35">
      <c r="A41" s="36" t="s">
        <v>81</v>
      </c>
      <c r="B41" s="36"/>
      <c r="C41" s="36"/>
      <c r="D41" s="36"/>
      <c r="E41" s="36"/>
      <c r="F41" s="36"/>
      <c r="G41" s="28" t="s">
        <v>93</v>
      </c>
      <c r="H41" s="28"/>
      <c r="I41" s="29"/>
    </row>
    <row r="42" spans="1:20" x14ac:dyDescent="0.3">
      <c r="A42" s="34" t="s">
        <v>82</v>
      </c>
      <c r="B42" s="34"/>
      <c r="C42" s="34"/>
      <c r="D42" s="34"/>
      <c r="E42" s="34"/>
      <c r="F42" s="34"/>
    </row>
    <row r="44" spans="1:20" ht="17.399999999999999" x14ac:dyDescent="0.35">
      <c r="A44" s="49" t="s">
        <v>104</v>
      </c>
      <c r="B44" s="49"/>
      <c r="C44" s="49"/>
      <c r="D44" s="49"/>
      <c r="E44" s="49"/>
      <c r="F44" s="49"/>
      <c r="G44" s="49"/>
      <c r="H44" s="49"/>
      <c r="I44" s="49"/>
      <c r="K44" s="33" t="s">
        <v>105</v>
      </c>
      <c r="L44" s="33"/>
      <c r="M44" s="33"/>
    </row>
    <row r="45" spans="1:20" x14ac:dyDescent="0.3">
      <c r="A45" s="26" t="s">
        <v>85</v>
      </c>
      <c r="B45" s="21" t="s">
        <v>2</v>
      </c>
      <c r="C45" s="22" t="s">
        <v>3</v>
      </c>
      <c r="D45" s="22" t="s">
        <v>4</v>
      </c>
      <c r="E45" s="22" t="s">
        <v>5</v>
      </c>
      <c r="F45" s="22" t="s">
        <v>6</v>
      </c>
      <c r="G45" s="22" t="s">
        <v>7</v>
      </c>
      <c r="H45" s="7" t="s">
        <v>46</v>
      </c>
      <c r="I45" s="8" t="s">
        <v>47</v>
      </c>
      <c r="K45" s="25" t="s">
        <v>8</v>
      </c>
      <c r="L45" s="25" t="s">
        <v>9</v>
      </c>
      <c r="M45" s="25" t="s">
        <v>10</v>
      </c>
    </row>
    <row r="46" spans="1:20" x14ac:dyDescent="0.3">
      <c r="A46" s="27" t="s">
        <v>86</v>
      </c>
      <c r="B46" s="9">
        <v>10101</v>
      </c>
      <c r="C46" s="9">
        <v>30</v>
      </c>
      <c r="D46" s="9">
        <v>202</v>
      </c>
      <c r="E46" s="9">
        <f>C46*D46</f>
        <v>6060</v>
      </c>
      <c r="F46" s="23">
        <v>45375</v>
      </c>
      <c r="G46" s="9" t="s">
        <v>13</v>
      </c>
      <c r="H46" s="9" t="s">
        <v>53</v>
      </c>
      <c r="I46" s="10" t="s">
        <v>54</v>
      </c>
      <c r="K46" s="9" t="s">
        <v>14</v>
      </c>
      <c r="L46" s="9" t="s">
        <v>15</v>
      </c>
      <c r="M46" s="9">
        <v>200</v>
      </c>
    </row>
    <row r="47" spans="1:20" x14ac:dyDescent="0.3">
      <c r="A47" s="27" t="s">
        <v>87</v>
      </c>
      <c r="B47" s="9">
        <v>10102</v>
      </c>
      <c r="C47" s="9">
        <v>34</v>
      </c>
      <c r="D47" s="9">
        <v>550</v>
      </c>
      <c r="E47" s="9">
        <f t="shared" ref="E47:E50" si="3">C47*D47</f>
        <v>18700</v>
      </c>
      <c r="F47" s="23">
        <v>45478</v>
      </c>
      <c r="G47" s="9" t="s">
        <v>17</v>
      </c>
      <c r="H47" s="9" t="s">
        <v>59</v>
      </c>
      <c r="I47" s="10" t="s">
        <v>60</v>
      </c>
      <c r="K47" s="9" t="s">
        <v>18</v>
      </c>
      <c r="L47" s="9" t="s">
        <v>19</v>
      </c>
      <c r="M47" s="9">
        <v>500</v>
      </c>
    </row>
    <row r="48" spans="1:20" x14ac:dyDescent="0.3">
      <c r="A48" s="27" t="s">
        <v>88</v>
      </c>
      <c r="B48" s="9">
        <v>10103</v>
      </c>
      <c r="C48" s="9">
        <v>41</v>
      </c>
      <c r="D48" s="9">
        <v>420</v>
      </c>
      <c r="E48" s="9">
        <f t="shared" si="3"/>
        <v>17220</v>
      </c>
      <c r="F48" s="23">
        <v>45474</v>
      </c>
      <c r="G48" s="9" t="s">
        <v>13</v>
      </c>
      <c r="H48" s="9" t="s">
        <v>63</v>
      </c>
      <c r="I48" s="10" t="s">
        <v>60</v>
      </c>
      <c r="K48" s="9" t="s">
        <v>21</v>
      </c>
      <c r="L48" s="9" t="s">
        <v>22</v>
      </c>
      <c r="M48" s="9">
        <v>400</v>
      </c>
    </row>
    <row r="49" spans="1:14" x14ac:dyDescent="0.3">
      <c r="A49" s="27" t="s">
        <v>89</v>
      </c>
      <c r="B49" s="9">
        <v>10104</v>
      </c>
      <c r="C49" s="9">
        <v>45</v>
      </c>
      <c r="D49" s="9">
        <v>780</v>
      </c>
      <c r="E49" s="9">
        <f t="shared" si="3"/>
        <v>35100</v>
      </c>
      <c r="F49" s="23">
        <v>45529</v>
      </c>
      <c r="G49" s="9" t="s">
        <v>24</v>
      </c>
      <c r="H49" s="9" t="s">
        <v>67</v>
      </c>
      <c r="I49" s="10" t="s">
        <v>68</v>
      </c>
      <c r="K49" s="9" t="s">
        <v>25</v>
      </c>
      <c r="L49" s="9" t="s">
        <v>26</v>
      </c>
      <c r="M49" s="9">
        <v>800</v>
      </c>
    </row>
    <row r="50" spans="1:14" x14ac:dyDescent="0.3">
      <c r="A50" s="27" t="s">
        <v>90</v>
      </c>
      <c r="B50" s="9">
        <v>10105</v>
      </c>
      <c r="C50" s="9">
        <v>49</v>
      </c>
      <c r="D50" s="9">
        <v>850</v>
      </c>
      <c r="E50" s="9">
        <f t="shared" si="3"/>
        <v>41650</v>
      </c>
      <c r="F50" s="23">
        <v>45575</v>
      </c>
      <c r="G50" s="9" t="s">
        <v>13</v>
      </c>
      <c r="H50" s="9" t="s">
        <v>67</v>
      </c>
      <c r="I50" s="10" t="s">
        <v>68</v>
      </c>
      <c r="K50" s="9" t="s">
        <v>28</v>
      </c>
      <c r="L50" s="9" t="s">
        <v>29</v>
      </c>
      <c r="M50" s="9">
        <v>900</v>
      </c>
    </row>
    <row r="51" spans="1:14" x14ac:dyDescent="0.3">
      <c r="A51" s="27" t="s">
        <v>91</v>
      </c>
      <c r="B51" s="9">
        <v>10106</v>
      </c>
      <c r="C51" s="9">
        <v>4</v>
      </c>
      <c r="D51" s="9">
        <v>780</v>
      </c>
      <c r="E51" s="9">
        <v>3120</v>
      </c>
      <c r="F51" s="23">
        <v>45419</v>
      </c>
      <c r="G51" s="9" t="s">
        <v>13</v>
      </c>
      <c r="H51" s="11" t="s">
        <v>72</v>
      </c>
      <c r="I51" s="12" t="s">
        <v>54</v>
      </c>
    </row>
    <row r="52" spans="1:14" x14ac:dyDescent="0.3">
      <c r="A52" s="27" t="s">
        <v>92</v>
      </c>
      <c r="B52" s="11">
        <v>10106</v>
      </c>
      <c r="C52" s="11">
        <v>4</v>
      </c>
      <c r="D52" s="11">
        <v>850</v>
      </c>
      <c r="E52" s="11">
        <v>3400</v>
      </c>
      <c r="F52" s="24">
        <v>45784</v>
      </c>
      <c r="G52" s="11" t="s">
        <v>13</v>
      </c>
      <c r="H52" s="11" t="s">
        <v>72</v>
      </c>
      <c r="I52" s="12" t="s">
        <v>54</v>
      </c>
    </row>
    <row r="56" spans="1:14" x14ac:dyDescent="0.3">
      <c r="A56" s="32" t="s">
        <v>106</v>
      </c>
      <c r="B56" s="32"/>
      <c r="C56" s="32"/>
      <c r="D56" s="32"/>
      <c r="E56" s="32"/>
      <c r="F56" s="32"/>
      <c r="G56" s="32"/>
      <c r="H56" s="32"/>
      <c r="I56" s="32"/>
      <c r="L56" s="31" t="s">
        <v>94</v>
      </c>
      <c r="M56" s="31"/>
      <c r="N56" s="31"/>
    </row>
    <row r="57" spans="1:14" x14ac:dyDescent="0.3">
      <c r="A57" s="4" t="s">
        <v>11</v>
      </c>
      <c r="B57" s="4" t="s">
        <v>12</v>
      </c>
      <c r="C57" s="6" t="s">
        <v>39</v>
      </c>
      <c r="D57" s="6" t="s">
        <v>40</v>
      </c>
      <c r="E57" s="6" t="s">
        <v>41</v>
      </c>
      <c r="F57" s="6" t="s">
        <v>42</v>
      </c>
      <c r="G57" s="6" t="s">
        <v>43</v>
      </c>
      <c r="H57" s="6" t="s">
        <v>44</v>
      </c>
      <c r="I57" s="6" t="s">
        <v>45</v>
      </c>
      <c r="L57" s="30" t="s">
        <v>85</v>
      </c>
      <c r="M57" s="30" t="s">
        <v>95</v>
      </c>
      <c r="N57" s="30" t="s">
        <v>96</v>
      </c>
    </row>
    <row r="58" spans="1:14" x14ac:dyDescent="0.3">
      <c r="A58" s="1" t="s">
        <v>16</v>
      </c>
      <c r="B58" s="1">
        <v>64599875</v>
      </c>
      <c r="C58" s="9" t="s">
        <v>48</v>
      </c>
      <c r="D58" s="9"/>
      <c r="E58" s="9" t="s">
        <v>49</v>
      </c>
      <c r="F58" s="9" t="s">
        <v>50</v>
      </c>
      <c r="G58" s="9">
        <v>10022</v>
      </c>
      <c r="H58" s="9" t="s">
        <v>51</v>
      </c>
      <c r="I58" s="9" t="s">
        <v>52</v>
      </c>
      <c r="L58" s="27" t="s">
        <v>86</v>
      </c>
      <c r="M58" s="14" t="s">
        <v>14</v>
      </c>
      <c r="N58" s="27" t="s">
        <v>97</v>
      </c>
    </row>
    <row r="59" spans="1:14" x14ac:dyDescent="0.3">
      <c r="A59" s="1" t="s">
        <v>20</v>
      </c>
      <c r="B59" s="1">
        <v>46879954</v>
      </c>
      <c r="C59" s="9" t="s">
        <v>55</v>
      </c>
      <c r="D59" s="9"/>
      <c r="E59" s="9" t="s">
        <v>56</v>
      </c>
      <c r="F59" s="9"/>
      <c r="G59" s="9">
        <v>51100</v>
      </c>
      <c r="H59" s="9" t="s">
        <v>57</v>
      </c>
      <c r="I59" s="9" t="s">
        <v>58</v>
      </c>
      <c r="L59" s="27" t="s">
        <v>87</v>
      </c>
      <c r="M59" s="14" t="s">
        <v>18</v>
      </c>
      <c r="N59" s="27" t="s">
        <v>98</v>
      </c>
    </row>
    <row r="60" spans="1:14" x14ac:dyDescent="0.3">
      <c r="A60" s="1" t="s">
        <v>23</v>
      </c>
      <c r="B60" s="1">
        <v>46875689</v>
      </c>
      <c r="C60" s="9" t="s">
        <v>61</v>
      </c>
      <c r="D60" s="9"/>
      <c r="E60" s="9" t="s">
        <v>62</v>
      </c>
      <c r="F60" s="9"/>
      <c r="G60" s="9">
        <v>75508</v>
      </c>
      <c r="H60" s="9" t="s">
        <v>57</v>
      </c>
      <c r="I60" s="9" t="s">
        <v>58</v>
      </c>
      <c r="L60" s="27" t="s">
        <v>88</v>
      </c>
      <c r="M60" s="14" t="s">
        <v>21</v>
      </c>
      <c r="N60" s="27" t="s">
        <v>99</v>
      </c>
    </row>
    <row r="61" spans="1:14" x14ac:dyDescent="0.3">
      <c r="A61" s="1" t="s">
        <v>27</v>
      </c>
      <c r="B61" s="1">
        <v>13354992</v>
      </c>
      <c r="C61" s="9" t="s">
        <v>64</v>
      </c>
      <c r="D61" s="9"/>
      <c r="E61" s="9" t="s">
        <v>65</v>
      </c>
      <c r="F61" s="9" t="s">
        <v>66</v>
      </c>
      <c r="G61" s="9">
        <v>90003</v>
      </c>
      <c r="H61" s="9" t="s">
        <v>51</v>
      </c>
      <c r="I61" s="9" t="s">
        <v>52</v>
      </c>
      <c r="L61" s="27" t="s">
        <v>89</v>
      </c>
      <c r="M61" s="14" t="s">
        <v>25</v>
      </c>
      <c r="N61" s="27" t="s">
        <v>100</v>
      </c>
    </row>
    <row r="62" spans="1:14" x14ac:dyDescent="0.3">
      <c r="A62" s="1" t="s">
        <v>30</v>
      </c>
      <c r="B62" s="1">
        <v>98249631</v>
      </c>
      <c r="C62" s="9" t="s">
        <v>69</v>
      </c>
      <c r="D62" s="9"/>
      <c r="E62" s="9" t="s">
        <v>70</v>
      </c>
      <c r="F62" s="9" t="s">
        <v>66</v>
      </c>
      <c r="G62" s="9"/>
      <c r="H62" s="9" t="s">
        <v>51</v>
      </c>
      <c r="I62" s="9" t="s">
        <v>52</v>
      </c>
      <c r="L62" s="27" t="s">
        <v>90</v>
      </c>
      <c r="M62" s="14" t="s">
        <v>28</v>
      </c>
      <c r="N62" s="27" t="s">
        <v>101</v>
      </c>
    </row>
    <row r="63" spans="1:14" x14ac:dyDescent="0.3">
      <c r="A63" s="1" t="s">
        <v>36</v>
      </c>
      <c r="B63" s="1">
        <v>78785462</v>
      </c>
      <c r="C63" s="9" t="s">
        <v>71</v>
      </c>
      <c r="D63" s="9"/>
      <c r="E63" s="9" t="s">
        <v>62</v>
      </c>
      <c r="F63" s="9"/>
      <c r="G63" s="9">
        <v>75016</v>
      </c>
      <c r="H63" s="9" t="s">
        <v>57</v>
      </c>
      <c r="I63" s="9" t="s">
        <v>58</v>
      </c>
      <c r="L63" s="27" t="s">
        <v>91</v>
      </c>
      <c r="M63" s="14" t="s">
        <v>25</v>
      </c>
      <c r="N63" s="27" t="s">
        <v>102</v>
      </c>
    </row>
    <row r="64" spans="1:14" x14ac:dyDescent="0.3">
      <c r="L64" s="27" t="s">
        <v>92</v>
      </c>
      <c r="M64" s="14" t="s">
        <v>28</v>
      </c>
      <c r="N64" s="27" t="s">
        <v>103</v>
      </c>
    </row>
    <row r="66" spans="1:18" ht="17.399999999999999" x14ac:dyDescent="0.35">
      <c r="A66" s="48" t="s">
        <v>107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</row>
    <row r="68" spans="1:18" x14ac:dyDescent="0.3">
      <c r="A68" s="51" t="s">
        <v>108</v>
      </c>
      <c r="B68" s="51"/>
      <c r="D68" s="26" t="s">
        <v>85</v>
      </c>
      <c r="E68" s="50" t="s">
        <v>109</v>
      </c>
      <c r="F68" s="21" t="s">
        <v>2</v>
      </c>
      <c r="G68" s="22" t="s">
        <v>3</v>
      </c>
      <c r="H68" s="22" t="s">
        <v>4</v>
      </c>
      <c r="I68" s="22" t="s">
        <v>5</v>
      </c>
      <c r="J68" s="22" t="s">
        <v>6</v>
      </c>
      <c r="K68" s="22" t="s">
        <v>7</v>
      </c>
      <c r="L68" s="8" t="s">
        <v>47</v>
      </c>
    </row>
    <row r="69" spans="1:18" x14ac:dyDescent="0.3">
      <c r="A69" s="50" t="s">
        <v>109</v>
      </c>
      <c r="B69" s="50" t="s">
        <v>110</v>
      </c>
      <c r="D69" s="27" t="s">
        <v>86</v>
      </c>
      <c r="E69" s="27" t="s">
        <v>111</v>
      </c>
      <c r="F69" s="9">
        <v>10101</v>
      </c>
      <c r="G69" s="9">
        <v>30</v>
      </c>
      <c r="H69" s="9">
        <v>202</v>
      </c>
      <c r="I69" s="9">
        <f>G69*H69</f>
        <v>6060</v>
      </c>
      <c r="J69" s="23">
        <v>45375</v>
      </c>
      <c r="K69" s="9" t="s">
        <v>13</v>
      </c>
      <c r="L69" s="10" t="s">
        <v>54</v>
      </c>
    </row>
    <row r="70" spans="1:18" x14ac:dyDescent="0.3">
      <c r="A70" s="27" t="s">
        <v>111</v>
      </c>
      <c r="B70" s="13" t="s">
        <v>114</v>
      </c>
      <c r="D70" s="27" t="s">
        <v>87</v>
      </c>
      <c r="E70" s="27" t="s">
        <v>112</v>
      </c>
      <c r="F70" s="9">
        <v>10102</v>
      </c>
      <c r="G70" s="9">
        <v>34</v>
      </c>
      <c r="H70" s="9">
        <v>550</v>
      </c>
      <c r="I70" s="9">
        <f t="shared" ref="I70:I73" si="4">G70*H70</f>
        <v>18700</v>
      </c>
      <c r="J70" s="23">
        <v>45478</v>
      </c>
      <c r="K70" s="9" t="s">
        <v>17</v>
      </c>
      <c r="L70" s="10" t="s">
        <v>60</v>
      </c>
    </row>
    <row r="71" spans="1:18" x14ac:dyDescent="0.3">
      <c r="A71" s="27" t="s">
        <v>112</v>
      </c>
      <c r="B71" s="13" t="s">
        <v>59</v>
      </c>
      <c r="C71" s="1"/>
      <c r="D71" s="27" t="s">
        <v>88</v>
      </c>
      <c r="E71" s="27" t="s">
        <v>113</v>
      </c>
      <c r="F71" s="9">
        <v>10103</v>
      </c>
      <c r="G71" s="9">
        <v>41</v>
      </c>
      <c r="H71" s="9">
        <v>420</v>
      </c>
      <c r="I71" s="9">
        <f t="shared" si="4"/>
        <v>17220</v>
      </c>
      <c r="J71" s="23">
        <v>45474</v>
      </c>
      <c r="K71" s="9" t="s">
        <v>13</v>
      </c>
      <c r="L71" s="10" t="s">
        <v>60</v>
      </c>
    </row>
    <row r="72" spans="1:18" x14ac:dyDescent="0.3">
      <c r="A72" s="27" t="s">
        <v>113</v>
      </c>
      <c r="B72" s="13" t="s">
        <v>63</v>
      </c>
      <c r="D72" s="27" t="s">
        <v>89</v>
      </c>
      <c r="E72" s="27" t="s">
        <v>115</v>
      </c>
      <c r="F72" s="9">
        <v>10104</v>
      </c>
      <c r="G72" s="9">
        <v>45</v>
      </c>
      <c r="H72" s="9">
        <v>780</v>
      </c>
      <c r="I72" s="9">
        <f t="shared" si="4"/>
        <v>35100</v>
      </c>
      <c r="J72" s="23">
        <v>45529</v>
      </c>
      <c r="K72" s="9" t="s">
        <v>24</v>
      </c>
      <c r="L72" s="10" t="s">
        <v>68</v>
      </c>
    </row>
    <row r="73" spans="1:18" x14ac:dyDescent="0.3">
      <c r="A73" s="27" t="s">
        <v>115</v>
      </c>
      <c r="B73" s="13" t="s">
        <v>67</v>
      </c>
      <c r="D73" s="27" t="s">
        <v>90</v>
      </c>
      <c r="E73" s="27" t="s">
        <v>115</v>
      </c>
      <c r="F73" s="9">
        <v>10105</v>
      </c>
      <c r="G73" s="9">
        <v>49</v>
      </c>
      <c r="H73" s="9">
        <v>850</v>
      </c>
      <c r="I73" s="9">
        <f t="shared" si="4"/>
        <v>41650</v>
      </c>
      <c r="J73" s="23">
        <v>45575</v>
      </c>
      <c r="K73" s="9" t="s">
        <v>13</v>
      </c>
      <c r="L73" s="10" t="s">
        <v>68</v>
      </c>
    </row>
    <row r="74" spans="1:18" x14ac:dyDescent="0.3">
      <c r="A74" s="27" t="s">
        <v>116</v>
      </c>
      <c r="B74" s="13" t="s">
        <v>72</v>
      </c>
      <c r="D74" s="27" t="s">
        <v>91</v>
      </c>
      <c r="E74" s="27" t="s">
        <v>116</v>
      </c>
      <c r="F74" s="9">
        <v>10106</v>
      </c>
      <c r="G74" s="9">
        <v>4</v>
      </c>
      <c r="H74" s="9">
        <v>780</v>
      </c>
      <c r="I74" s="9">
        <v>3120</v>
      </c>
      <c r="J74" s="23">
        <v>45419</v>
      </c>
      <c r="K74" s="9" t="s">
        <v>13</v>
      </c>
      <c r="L74" s="12" t="s">
        <v>54</v>
      </c>
    </row>
    <row r="75" spans="1:18" x14ac:dyDescent="0.3">
      <c r="D75" s="27" t="s">
        <v>92</v>
      </c>
      <c r="E75" s="27" t="s">
        <v>116</v>
      </c>
      <c r="F75" s="11">
        <v>10106</v>
      </c>
      <c r="G75" s="11">
        <v>4</v>
      </c>
      <c r="H75" s="11">
        <v>850</v>
      </c>
      <c r="I75" s="11">
        <v>3400</v>
      </c>
      <c r="J75" s="24">
        <v>45784</v>
      </c>
      <c r="K75" s="11" t="s">
        <v>13</v>
      </c>
      <c r="L75" s="12" t="s">
        <v>54</v>
      </c>
    </row>
  </sheetData>
  <mergeCells count="30">
    <mergeCell ref="A66:R66"/>
    <mergeCell ref="A68:B68"/>
    <mergeCell ref="A1:F1"/>
    <mergeCell ref="G1:I1"/>
    <mergeCell ref="L1:R1"/>
    <mergeCell ref="S1:T1"/>
    <mergeCell ref="A44:I44"/>
    <mergeCell ref="A10:T10"/>
    <mergeCell ref="A11:T11"/>
    <mergeCell ref="A12:F12"/>
    <mergeCell ref="G12:I12"/>
    <mergeCell ref="L12:R12"/>
    <mergeCell ref="S12:T12"/>
    <mergeCell ref="A25:C25"/>
    <mergeCell ref="A22:C22"/>
    <mergeCell ref="D23:F23"/>
    <mergeCell ref="A23:C23"/>
    <mergeCell ref="A24:C24"/>
    <mergeCell ref="A40:F40"/>
    <mergeCell ref="A41:F41"/>
    <mergeCell ref="A28:T28"/>
    <mergeCell ref="A29:F29"/>
    <mergeCell ref="G29:I29"/>
    <mergeCell ref="L29:R29"/>
    <mergeCell ref="S29:T29"/>
    <mergeCell ref="A39:E39"/>
    <mergeCell ref="L56:N56"/>
    <mergeCell ref="A56:I56"/>
    <mergeCell ref="K44:M44"/>
    <mergeCell ref="A42:F42"/>
  </mergeCells>
  <phoneticPr fontId="7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 Kumar Gupta</dc:creator>
  <cp:lastModifiedBy>Aman Prajapati</cp:lastModifiedBy>
  <dcterms:created xsi:type="dcterms:W3CDTF">2025-12-13T05:51:48Z</dcterms:created>
  <dcterms:modified xsi:type="dcterms:W3CDTF">2025-12-13T09:15:31Z</dcterms:modified>
</cp:coreProperties>
</file>